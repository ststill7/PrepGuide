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enez\Dropbox\LearningIT\Classroom Study F25S26\"/>
    </mc:Choice>
  </mc:AlternateContent>
  <xr:revisionPtr revIDLastSave="0" documentId="13_ncr:1_{9EFA0304-5BC4-4CE1-A73B-8432C17F8D88}" xr6:coauthVersionLast="47" xr6:coauthVersionMax="47" xr10:uidLastSave="{00000000-0000-0000-0000-000000000000}"/>
  <bookViews>
    <workbookView xWindow="-120" yWindow="-120" windowWidth="29040" windowHeight="15840" activeTab="2" xr2:uid="{59DB257B-D003-41E9-A1EF-2A5FF67124C0}"/>
  </bookViews>
  <sheets>
    <sheet name="IT Condition" sheetId="4" r:id="rId1"/>
    <sheet name="PG Condition" sheetId="5" r:id="rId2"/>
    <sheet name="Within-Subject PG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5" l="1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K2" i="6" l="1"/>
  <c r="K11" i="6"/>
  <c r="L11" i="6" s="1"/>
  <c r="K12" i="6"/>
  <c r="L12" i="6" s="1"/>
  <c r="K13" i="6"/>
  <c r="K14" i="6"/>
  <c r="K15" i="6"/>
  <c r="K16" i="6"/>
  <c r="K17" i="6"/>
  <c r="K18" i="6"/>
  <c r="L18" i="6" s="1"/>
  <c r="K19" i="6"/>
  <c r="K21" i="6"/>
  <c r="K10" i="6"/>
  <c r="L10" i="6" s="1"/>
  <c r="K9" i="6"/>
  <c r="K8" i="6"/>
  <c r="K7" i="6"/>
  <c r="L7" i="6" s="1"/>
  <c r="K6" i="6"/>
  <c r="K5" i="6"/>
  <c r="K4" i="6"/>
  <c r="L4" i="6" s="1"/>
  <c r="K3" i="6"/>
  <c r="P13" i="6" l="1"/>
  <c r="Q13" i="6" s="1"/>
  <c r="L13" i="6"/>
  <c r="P17" i="6"/>
  <c r="Q17" i="6" s="1"/>
  <c r="L17" i="6"/>
  <c r="P8" i="6"/>
  <c r="Q8" i="6" s="1"/>
  <c r="L8" i="6"/>
  <c r="P9" i="6"/>
  <c r="Q9" i="6" s="1"/>
  <c r="L9" i="6"/>
  <c r="P3" i="6"/>
  <c r="Q3" i="6" s="1"/>
  <c r="L3" i="6"/>
  <c r="P21" i="6"/>
  <c r="Q21" i="6" s="1"/>
  <c r="L21" i="6"/>
  <c r="P15" i="6"/>
  <c r="Q15" i="6" s="1"/>
  <c r="L15" i="6"/>
  <c r="L19" i="6"/>
  <c r="P19" i="6"/>
  <c r="Q19" i="6" s="1"/>
  <c r="P16" i="6"/>
  <c r="Q16" i="6" s="1"/>
  <c r="L16" i="6"/>
  <c r="P14" i="6"/>
  <c r="Q14" i="6" s="1"/>
  <c r="L14" i="6"/>
  <c r="P5" i="6"/>
  <c r="Q5" i="6" s="1"/>
  <c r="L5" i="6"/>
  <c r="P6" i="6"/>
  <c r="Q6" i="6" s="1"/>
  <c r="L6" i="6"/>
  <c r="P2" i="6"/>
  <c r="Q2" i="6" s="1"/>
  <c r="L2" i="6"/>
  <c r="P11" i="6"/>
  <c r="Q11" i="6" s="1"/>
  <c r="P18" i="6"/>
  <c r="Q18" i="6" s="1"/>
  <c r="P12" i="6"/>
  <c r="Q12" i="6" s="1"/>
  <c r="P4" i="6"/>
  <c r="Q4" i="6" s="1"/>
  <c r="P7" i="6"/>
  <c r="Q7" i="6" s="1"/>
  <c r="P10" i="6"/>
  <c r="Q10" i="6" s="1"/>
  <c r="L23" i="6" l="1"/>
  <c r="Q23" i="6"/>
</calcChain>
</file>

<file path=xl/sharedStrings.xml><?xml version="1.0" encoding="utf-8"?>
<sst xmlns="http://schemas.openxmlformats.org/spreadsheetml/2006/main" count="28" uniqueCount="13">
  <si>
    <t>Final</t>
  </si>
  <si>
    <t>Student</t>
  </si>
  <si>
    <t>Quiz 1</t>
  </si>
  <si>
    <t>Quiz 2</t>
  </si>
  <si>
    <t>Quiz 3</t>
  </si>
  <si>
    <t>Quiz 4</t>
  </si>
  <si>
    <t>Quiz 5</t>
  </si>
  <si>
    <t>Quiz 6</t>
  </si>
  <si>
    <t>Name</t>
  </si>
  <si>
    <t>Total from all questions</t>
  </si>
  <si>
    <t>Total</t>
  </si>
  <si>
    <t>Total from PG completed before class</t>
  </si>
  <si>
    <t>Total from PG completed 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</si>
</sst>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3CD0-2B8B-4DD6-9722-21306E146AEA}">
  <dimension ref="A1:Q17"/>
  <sheetViews>
    <sheetView workbookViewId="0">
      <selection activeCell="M3" sqref="M3"/>
    </sheetView>
  </sheetViews>
  <sheetFormatPr defaultRowHeight="15" x14ac:dyDescent="0.25"/>
  <cols>
    <col min="1" max="1" width="9.42578125" customWidth="1"/>
  </cols>
  <sheetData>
    <row r="1" spans="1:17" x14ac:dyDescent="0.25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  <c r="K1" s="1"/>
      <c r="L1" s="1"/>
      <c r="M1" s="1"/>
      <c r="N1" s="1"/>
      <c r="O1" s="1"/>
      <c r="P1" s="1"/>
      <c r="Q1" s="1"/>
    </row>
    <row r="2" spans="1:17" x14ac:dyDescent="0.25">
      <c r="A2">
        <v>1</v>
      </c>
      <c r="B2">
        <v>71.5</v>
      </c>
      <c r="C2">
        <v>67.5</v>
      </c>
      <c r="D2">
        <v>56</v>
      </c>
      <c r="E2">
        <v>69</v>
      </c>
      <c r="F2">
        <v>60</v>
      </c>
      <c r="G2">
        <v>64</v>
      </c>
      <c r="H2">
        <v>90</v>
      </c>
    </row>
    <row r="3" spans="1:17" x14ac:dyDescent="0.25">
      <c r="A3">
        <v>2</v>
      </c>
      <c r="B3">
        <v>63</v>
      </c>
      <c r="C3">
        <v>64</v>
      </c>
      <c r="D3">
        <v>67</v>
      </c>
      <c r="E3">
        <v>70</v>
      </c>
      <c r="F3">
        <v>58.5</v>
      </c>
      <c r="G3">
        <v>65</v>
      </c>
      <c r="H3">
        <v>92</v>
      </c>
    </row>
    <row r="4" spans="1:17" x14ac:dyDescent="0.25">
      <c r="A4">
        <v>3</v>
      </c>
      <c r="B4">
        <v>68</v>
      </c>
      <c r="C4">
        <v>71</v>
      </c>
      <c r="D4">
        <v>60.5</v>
      </c>
      <c r="E4">
        <v>72</v>
      </c>
      <c r="F4">
        <v>68.5</v>
      </c>
      <c r="G4">
        <v>68.5</v>
      </c>
      <c r="H4">
        <v>100</v>
      </c>
    </row>
    <row r="5" spans="1:17" x14ac:dyDescent="0.25">
      <c r="A5">
        <v>4</v>
      </c>
      <c r="B5">
        <v>59.5</v>
      </c>
      <c r="C5">
        <v>60.5</v>
      </c>
      <c r="D5">
        <v>44</v>
      </c>
      <c r="E5">
        <v>64</v>
      </c>
      <c r="F5">
        <v>65</v>
      </c>
      <c r="G5">
        <v>61.5</v>
      </c>
      <c r="H5">
        <v>87</v>
      </c>
    </row>
    <row r="6" spans="1:17" x14ac:dyDescent="0.25">
      <c r="A6">
        <v>5</v>
      </c>
      <c r="B6">
        <v>70</v>
      </c>
      <c r="C6">
        <v>64.5</v>
      </c>
      <c r="D6">
        <v>49</v>
      </c>
      <c r="E6">
        <v>56</v>
      </c>
      <c r="F6">
        <v>60.5</v>
      </c>
      <c r="G6">
        <v>58</v>
      </c>
      <c r="H6">
        <v>85</v>
      </c>
    </row>
    <row r="7" spans="1:17" x14ac:dyDescent="0.25">
      <c r="A7">
        <v>6</v>
      </c>
      <c r="B7">
        <v>72</v>
      </c>
      <c r="C7">
        <v>70.5</v>
      </c>
      <c r="D7">
        <v>73.5</v>
      </c>
      <c r="E7">
        <v>75</v>
      </c>
      <c r="F7">
        <v>72</v>
      </c>
      <c r="G7">
        <v>71.5</v>
      </c>
      <c r="H7">
        <v>98.5</v>
      </c>
    </row>
    <row r="8" spans="1:17" x14ac:dyDescent="0.25">
      <c r="A8">
        <v>7</v>
      </c>
      <c r="B8">
        <v>67</v>
      </c>
      <c r="C8">
        <v>59.5</v>
      </c>
      <c r="D8">
        <v>51.5</v>
      </c>
      <c r="E8">
        <v>64</v>
      </c>
      <c r="F8">
        <v>63</v>
      </c>
      <c r="G8">
        <v>61.5</v>
      </c>
      <c r="H8">
        <v>76.5</v>
      </c>
    </row>
    <row r="9" spans="1:17" x14ac:dyDescent="0.25">
      <c r="A9">
        <v>8</v>
      </c>
      <c r="B9">
        <v>62</v>
      </c>
      <c r="C9">
        <v>71</v>
      </c>
      <c r="D9">
        <v>53.5</v>
      </c>
      <c r="E9">
        <v>61.5</v>
      </c>
      <c r="F9">
        <v>47.5</v>
      </c>
      <c r="G9">
        <v>54.5</v>
      </c>
      <c r="H9">
        <v>73.5</v>
      </c>
    </row>
    <row r="10" spans="1:17" x14ac:dyDescent="0.25">
      <c r="A10">
        <v>9</v>
      </c>
      <c r="B10">
        <v>62</v>
      </c>
      <c r="C10">
        <v>53</v>
      </c>
      <c r="D10">
        <v>55</v>
      </c>
      <c r="E10">
        <v>45.5</v>
      </c>
      <c r="F10">
        <v>62.5</v>
      </c>
      <c r="G10">
        <v>59</v>
      </c>
      <c r="H10">
        <v>81</v>
      </c>
    </row>
    <row r="11" spans="1:17" x14ac:dyDescent="0.25">
      <c r="A11">
        <v>10</v>
      </c>
      <c r="B11">
        <v>58</v>
      </c>
      <c r="C11">
        <v>64</v>
      </c>
      <c r="D11">
        <v>42.5</v>
      </c>
      <c r="E11">
        <v>56</v>
      </c>
      <c r="F11">
        <v>53.5</v>
      </c>
      <c r="G11">
        <v>46</v>
      </c>
      <c r="H11">
        <v>75.5</v>
      </c>
    </row>
    <row r="12" spans="1:17" x14ac:dyDescent="0.25">
      <c r="A12">
        <v>11</v>
      </c>
      <c r="B12">
        <v>58</v>
      </c>
      <c r="C12">
        <v>37.5</v>
      </c>
      <c r="D12">
        <v>45.5</v>
      </c>
      <c r="E12">
        <v>50</v>
      </c>
      <c r="F12">
        <v>62</v>
      </c>
      <c r="G12">
        <v>54.5</v>
      </c>
      <c r="H12">
        <v>80</v>
      </c>
    </row>
    <row r="13" spans="1:17" x14ac:dyDescent="0.25">
      <c r="A13">
        <v>12</v>
      </c>
      <c r="B13">
        <v>71.5</v>
      </c>
      <c r="C13">
        <v>63.5</v>
      </c>
      <c r="D13">
        <v>67.5</v>
      </c>
      <c r="E13">
        <v>67</v>
      </c>
      <c r="F13">
        <v>59.5</v>
      </c>
      <c r="G13">
        <v>65.5</v>
      </c>
      <c r="H13">
        <v>88</v>
      </c>
    </row>
    <row r="14" spans="1:17" x14ac:dyDescent="0.25">
      <c r="A14">
        <v>13</v>
      </c>
      <c r="B14">
        <v>75</v>
      </c>
      <c r="C14">
        <v>57.5</v>
      </c>
      <c r="D14">
        <v>67.5</v>
      </c>
      <c r="E14">
        <v>70.5</v>
      </c>
      <c r="F14">
        <v>73.5</v>
      </c>
      <c r="G14">
        <v>63.5</v>
      </c>
      <c r="H14">
        <v>93.5</v>
      </c>
    </row>
    <row r="15" spans="1:17" x14ac:dyDescent="0.25">
      <c r="A15">
        <v>14</v>
      </c>
      <c r="B15">
        <v>72</v>
      </c>
      <c r="C15">
        <v>58</v>
      </c>
      <c r="D15">
        <v>38.5</v>
      </c>
      <c r="E15">
        <v>52.5</v>
      </c>
      <c r="F15">
        <v>64</v>
      </c>
      <c r="G15">
        <v>59.5</v>
      </c>
      <c r="H15">
        <v>83.5</v>
      </c>
    </row>
    <row r="16" spans="1:17" x14ac:dyDescent="0.25">
      <c r="A16">
        <v>15</v>
      </c>
      <c r="B16">
        <v>72</v>
      </c>
      <c r="C16">
        <v>67.5</v>
      </c>
      <c r="D16">
        <v>68</v>
      </c>
      <c r="E16">
        <v>66</v>
      </c>
      <c r="F16">
        <v>69</v>
      </c>
      <c r="G16">
        <v>67.5</v>
      </c>
      <c r="H16">
        <v>88.5</v>
      </c>
    </row>
    <row r="17" spans="1:8" x14ac:dyDescent="0.25">
      <c r="A17">
        <v>16</v>
      </c>
      <c r="B17">
        <v>73.5</v>
      </c>
      <c r="C17">
        <v>70.5</v>
      </c>
      <c r="D17">
        <v>67</v>
      </c>
      <c r="E17">
        <v>74</v>
      </c>
      <c r="F17">
        <v>65.5</v>
      </c>
      <c r="G17">
        <v>68</v>
      </c>
      <c r="H17">
        <v>88.5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1DF0-441E-43E2-A608-E0274F354AB8}">
  <dimension ref="A1:Q19"/>
  <sheetViews>
    <sheetView workbookViewId="0">
      <selection activeCell="A20" sqref="A20"/>
    </sheetView>
  </sheetViews>
  <sheetFormatPr defaultRowHeight="15" x14ac:dyDescent="0.25"/>
  <cols>
    <col min="1" max="1" width="9.140625" customWidth="1"/>
  </cols>
  <sheetData>
    <row r="1" spans="1:17" x14ac:dyDescent="0.25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  <c r="K1" s="1"/>
      <c r="L1" s="1"/>
      <c r="M1" s="1"/>
      <c r="N1" s="1"/>
      <c r="O1" s="1"/>
      <c r="P1" s="1"/>
      <c r="Q1" s="1"/>
    </row>
    <row r="2" spans="1:17" x14ac:dyDescent="0.25">
      <c r="A2">
        <v>1</v>
      </c>
      <c r="B2">
        <v>73</v>
      </c>
      <c r="C2">
        <v>73.5</v>
      </c>
      <c r="D2">
        <v>70.5</v>
      </c>
      <c r="E2">
        <v>76</v>
      </c>
      <c r="F2">
        <v>66</v>
      </c>
      <c r="G2">
        <v>72</v>
      </c>
      <c r="H2">
        <f>(97.5-3)</f>
        <v>94.5</v>
      </c>
    </row>
    <row r="3" spans="1:17" x14ac:dyDescent="0.25">
      <c r="A3">
        <v>2</v>
      </c>
      <c r="B3">
        <v>59</v>
      </c>
      <c r="C3">
        <v>45</v>
      </c>
      <c r="D3">
        <v>55.5</v>
      </c>
      <c r="E3">
        <v>48.5</v>
      </c>
      <c r="F3">
        <v>57.5</v>
      </c>
      <c r="G3">
        <v>62</v>
      </c>
      <c r="H3">
        <f>(74.5-3)</f>
        <v>71.5</v>
      </c>
    </row>
    <row r="4" spans="1:17" x14ac:dyDescent="0.25">
      <c r="A4">
        <v>3</v>
      </c>
      <c r="B4">
        <v>59.5</v>
      </c>
      <c r="C4">
        <v>68</v>
      </c>
      <c r="D4">
        <v>57</v>
      </c>
      <c r="E4">
        <v>65.5</v>
      </c>
      <c r="F4">
        <v>64.5</v>
      </c>
      <c r="G4">
        <v>59.5</v>
      </c>
      <c r="H4">
        <f>(92.5-3)</f>
        <v>89.5</v>
      </c>
    </row>
    <row r="5" spans="1:17" x14ac:dyDescent="0.25">
      <c r="A5">
        <v>4</v>
      </c>
      <c r="B5">
        <v>64</v>
      </c>
      <c r="C5">
        <v>65.5</v>
      </c>
      <c r="D5">
        <v>67.5</v>
      </c>
      <c r="E5">
        <v>74</v>
      </c>
      <c r="F5">
        <v>66</v>
      </c>
      <c r="G5">
        <v>75</v>
      </c>
      <c r="H5">
        <f>(101.5-3)</f>
        <v>98.5</v>
      </c>
    </row>
    <row r="6" spans="1:17" x14ac:dyDescent="0.25">
      <c r="A6">
        <v>5</v>
      </c>
      <c r="B6">
        <v>60.5</v>
      </c>
      <c r="C6">
        <v>36</v>
      </c>
      <c r="D6">
        <v>35.5</v>
      </c>
      <c r="E6">
        <v>32.5</v>
      </c>
      <c r="F6">
        <v>42</v>
      </c>
      <c r="G6">
        <v>65</v>
      </c>
      <c r="H6">
        <f>(58-3)</f>
        <v>55</v>
      </c>
    </row>
    <row r="7" spans="1:17" x14ac:dyDescent="0.25">
      <c r="A7">
        <v>6</v>
      </c>
      <c r="B7">
        <v>57</v>
      </c>
      <c r="C7">
        <v>60.5</v>
      </c>
      <c r="D7">
        <v>51</v>
      </c>
      <c r="E7">
        <v>57</v>
      </c>
      <c r="F7">
        <v>58.5</v>
      </c>
      <c r="G7">
        <v>65.5</v>
      </c>
      <c r="H7">
        <f>(87.5-3)</f>
        <v>84.5</v>
      </c>
    </row>
    <row r="8" spans="1:17" x14ac:dyDescent="0.25">
      <c r="A8">
        <v>7</v>
      </c>
      <c r="B8">
        <v>64.5</v>
      </c>
      <c r="C8">
        <v>71.5</v>
      </c>
      <c r="D8">
        <v>65</v>
      </c>
      <c r="E8">
        <v>66.5</v>
      </c>
      <c r="F8">
        <v>62</v>
      </c>
      <c r="G8">
        <v>60.5</v>
      </c>
      <c r="H8">
        <f>(91.5-3)</f>
        <v>88.5</v>
      </c>
    </row>
    <row r="9" spans="1:17" x14ac:dyDescent="0.25">
      <c r="A9">
        <v>8</v>
      </c>
      <c r="B9">
        <v>65.5</v>
      </c>
      <c r="C9">
        <v>69</v>
      </c>
      <c r="D9">
        <v>66</v>
      </c>
      <c r="E9">
        <v>71</v>
      </c>
      <c r="F9">
        <v>64.5</v>
      </c>
      <c r="G9">
        <v>73</v>
      </c>
      <c r="H9">
        <f>(88-3)</f>
        <v>85</v>
      </c>
    </row>
    <row r="10" spans="1:17" x14ac:dyDescent="0.25">
      <c r="A10">
        <v>9</v>
      </c>
      <c r="B10">
        <v>71.5</v>
      </c>
      <c r="C10">
        <v>64.5</v>
      </c>
      <c r="D10">
        <v>66</v>
      </c>
      <c r="E10">
        <v>62</v>
      </c>
      <c r="F10">
        <v>70.5</v>
      </c>
      <c r="G10">
        <v>69</v>
      </c>
      <c r="H10">
        <f>(99.5-3)</f>
        <v>96.5</v>
      </c>
    </row>
    <row r="11" spans="1:17" x14ac:dyDescent="0.25">
      <c r="A11">
        <v>10</v>
      </c>
      <c r="B11">
        <v>50</v>
      </c>
      <c r="C11">
        <v>44.5</v>
      </c>
      <c r="D11">
        <v>24</v>
      </c>
      <c r="E11">
        <v>37.5</v>
      </c>
      <c r="F11">
        <v>45.5</v>
      </c>
      <c r="G11">
        <v>53.5</v>
      </c>
      <c r="H11">
        <f>(65-3)</f>
        <v>62</v>
      </c>
    </row>
    <row r="12" spans="1:17" x14ac:dyDescent="0.25">
      <c r="A12">
        <v>11</v>
      </c>
      <c r="B12">
        <v>62.5</v>
      </c>
      <c r="C12">
        <v>48.5</v>
      </c>
      <c r="D12">
        <v>42</v>
      </c>
      <c r="E12">
        <v>56</v>
      </c>
      <c r="F12">
        <v>46.5</v>
      </c>
      <c r="G12">
        <v>59.5</v>
      </c>
      <c r="H12">
        <f>(76-3)</f>
        <v>73</v>
      </c>
    </row>
    <row r="13" spans="1:17" x14ac:dyDescent="0.25">
      <c r="A13">
        <v>12</v>
      </c>
      <c r="B13">
        <v>61</v>
      </c>
      <c r="C13">
        <v>55.5</v>
      </c>
      <c r="D13">
        <v>47.5</v>
      </c>
      <c r="E13">
        <v>56.5</v>
      </c>
      <c r="F13">
        <v>68.5</v>
      </c>
      <c r="G13">
        <v>57</v>
      </c>
      <c r="H13">
        <f>(76.5-3)</f>
        <v>73.5</v>
      </c>
    </row>
    <row r="14" spans="1:17" x14ac:dyDescent="0.25">
      <c r="A14">
        <v>13</v>
      </c>
      <c r="B14">
        <v>66</v>
      </c>
      <c r="C14">
        <v>62.5</v>
      </c>
      <c r="D14">
        <v>58</v>
      </c>
      <c r="E14">
        <v>56.5</v>
      </c>
      <c r="F14">
        <v>65.5</v>
      </c>
      <c r="G14">
        <v>62.5</v>
      </c>
      <c r="H14">
        <f>(89.5-3)</f>
        <v>86.5</v>
      </c>
    </row>
    <row r="15" spans="1:17" x14ac:dyDescent="0.25">
      <c r="A15">
        <v>14</v>
      </c>
      <c r="B15">
        <v>48</v>
      </c>
      <c r="C15">
        <v>64</v>
      </c>
      <c r="D15">
        <v>60</v>
      </c>
      <c r="E15">
        <v>56</v>
      </c>
      <c r="F15">
        <v>66.5</v>
      </c>
      <c r="G15">
        <v>68</v>
      </c>
      <c r="H15">
        <f>(77-3)</f>
        <v>74</v>
      </c>
    </row>
    <row r="16" spans="1:17" x14ac:dyDescent="0.25">
      <c r="A16">
        <v>15</v>
      </c>
      <c r="B16">
        <v>69.5</v>
      </c>
      <c r="C16">
        <v>69.5</v>
      </c>
      <c r="D16">
        <v>67.5</v>
      </c>
      <c r="E16">
        <v>70</v>
      </c>
      <c r="F16">
        <v>58</v>
      </c>
      <c r="G16">
        <v>70.5</v>
      </c>
      <c r="H16">
        <f>(81.5-3)</f>
        <v>78.5</v>
      </c>
    </row>
    <row r="17" spans="1:8" x14ac:dyDescent="0.25">
      <c r="A17">
        <v>16</v>
      </c>
      <c r="B17">
        <v>57.5</v>
      </c>
      <c r="C17">
        <v>63.5</v>
      </c>
      <c r="D17">
        <v>57.5</v>
      </c>
      <c r="E17">
        <v>68.5</v>
      </c>
      <c r="F17">
        <v>67</v>
      </c>
      <c r="G17">
        <v>68.5</v>
      </c>
      <c r="H17">
        <f>(78.5-3)</f>
        <v>75.5</v>
      </c>
    </row>
    <row r="18" spans="1:8" x14ac:dyDescent="0.25">
      <c r="A18">
        <v>17</v>
      </c>
      <c r="B18">
        <v>53.5</v>
      </c>
      <c r="C18">
        <v>58.5</v>
      </c>
      <c r="D18">
        <v>40</v>
      </c>
      <c r="E18">
        <v>41.5</v>
      </c>
      <c r="F18">
        <v>46</v>
      </c>
      <c r="G18">
        <v>55</v>
      </c>
      <c r="H18">
        <f>(73-3)</f>
        <v>70</v>
      </c>
    </row>
    <row r="19" spans="1:8" x14ac:dyDescent="0.25">
      <c r="A19">
        <v>18</v>
      </c>
      <c r="B19">
        <v>70.5</v>
      </c>
      <c r="C19">
        <v>58</v>
      </c>
      <c r="D19">
        <v>57</v>
      </c>
      <c r="E19">
        <v>63.5</v>
      </c>
      <c r="F19">
        <v>52</v>
      </c>
      <c r="G19">
        <v>64</v>
      </c>
      <c r="H19">
        <f>(62-3)</f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9050-C39D-4232-AB1C-375EE2A460A3}">
  <dimension ref="A1:Q23"/>
  <sheetViews>
    <sheetView tabSelected="1" workbookViewId="0">
      <selection activeCell="C23" sqref="C23"/>
    </sheetView>
  </sheetViews>
  <sheetFormatPr defaultRowHeight="15" x14ac:dyDescent="0.25"/>
  <sheetData>
    <row r="1" spans="1:17" x14ac:dyDescent="0.25">
      <c r="A1" t="s">
        <v>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K1" t="s">
        <v>12</v>
      </c>
      <c r="N1" t="s">
        <v>9</v>
      </c>
      <c r="P1" t="s">
        <v>11</v>
      </c>
    </row>
    <row r="2" spans="1:17" x14ac:dyDescent="0.25">
      <c r="A2">
        <v>1</v>
      </c>
      <c r="C2">
        <v>26</v>
      </c>
      <c r="D2">
        <v>36.5</v>
      </c>
      <c r="E2">
        <v>33.5</v>
      </c>
      <c r="F2">
        <v>44.5</v>
      </c>
      <c r="G2">
        <v>29</v>
      </c>
      <c r="H2">
        <v>45</v>
      </c>
      <c r="I2">
        <v>41.5</v>
      </c>
      <c r="K2">
        <f>SUM(C2:I2)</f>
        <v>256</v>
      </c>
      <c r="L2">
        <f>(K2/268)*100</f>
        <v>95.522388059701484</v>
      </c>
      <c r="N2">
        <v>525.5</v>
      </c>
      <c r="P2">
        <f>(N2-K2)</f>
        <v>269.5</v>
      </c>
      <c r="Q2">
        <f>(P2/282)*100</f>
        <v>95.567375886524815</v>
      </c>
    </row>
    <row r="3" spans="1:17" x14ac:dyDescent="0.25">
      <c r="A3">
        <v>2</v>
      </c>
      <c r="C3">
        <v>24.5</v>
      </c>
      <c r="D3">
        <v>18.5</v>
      </c>
      <c r="E3">
        <v>28.5</v>
      </c>
      <c r="F3">
        <v>29</v>
      </c>
      <c r="G3">
        <v>27.5</v>
      </c>
      <c r="H3">
        <v>33.5</v>
      </c>
      <c r="I3">
        <v>33</v>
      </c>
      <c r="K3">
        <f t="shared" ref="K3:K10" si="0">SUM(C3:I3)</f>
        <v>194.5</v>
      </c>
      <c r="L3">
        <f t="shared" ref="L3:L21" si="1">(K3/268)*100</f>
        <v>72.574626865671647</v>
      </c>
      <c r="N3">
        <v>399</v>
      </c>
      <c r="P3">
        <f t="shared" ref="P3:P18" si="2">(N3-K3)</f>
        <v>204.5</v>
      </c>
      <c r="Q3">
        <f t="shared" ref="Q3:Q21" si="3">(P3/282)*100</f>
        <v>72.517730496453908</v>
      </c>
    </row>
    <row r="4" spans="1:17" x14ac:dyDescent="0.25">
      <c r="A4">
        <v>3</v>
      </c>
      <c r="C4">
        <v>23</v>
      </c>
      <c r="D4">
        <v>30.5</v>
      </c>
      <c r="E4">
        <v>27.5</v>
      </c>
      <c r="F4">
        <v>41.5</v>
      </c>
      <c r="G4">
        <v>29</v>
      </c>
      <c r="H4">
        <v>38.5</v>
      </c>
      <c r="I4">
        <v>41</v>
      </c>
      <c r="K4">
        <f>SUM(C4:I4)</f>
        <v>231</v>
      </c>
      <c r="L4">
        <f t="shared" si="1"/>
        <v>86.194029850746261</v>
      </c>
      <c r="N4">
        <v>463.5</v>
      </c>
      <c r="P4">
        <f t="shared" si="2"/>
        <v>232.5</v>
      </c>
      <c r="Q4">
        <f t="shared" si="3"/>
        <v>82.446808510638306</v>
      </c>
    </row>
    <row r="5" spans="1:17" x14ac:dyDescent="0.25">
      <c r="A5">
        <v>4</v>
      </c>
      <c r="C5">
        <v>24.5</v>
      </c>
      <c r="D5">
        <v>32</v>
      </c>
      <c r="E5">
        <v>33.5</v>
      </c>
      <c r="F5">
        <v>42.5</v>
      </c>
      <c r="G5">
        <v>32</v>
      </c>
      <c r="H5">
        <v>45</v>
      </c>
      <c r="I5">
        <v>47</v>
      </c>
      <c r="K5">
        <f t="shared" si="0"/>
        <v>256.5</v>
      </c>
      <c r="L5">
        <f t="shared" si="1"/>
        <v>95.708955223880594</v>
      </c>
      <c r="N5">
        <v>510.5</v>
      </c>
      <c r="P5">
        <f t="shared" si="2"/>
        <v>254</v>
      </c>
      <c r="Q5">
        <f t="shared" si="3"/>
        <v>90.070921985815602</v>
      </c>
    </row>
    <row r="6" spans="1:17" x14ac:dyDescent="0.25">
      <c r="A6">
        <v>5</v>
      </c>
      <c r="C6">
        <v>24.5</v>
      </c>
      <c r="D6">
        <v>12.5</v>
      </c>
      <c r="E6">
        <v>16</v>
      </c>
      <c r="F6">
        <v>23.5</v>
      </c>
      <c r="G6">
        <v>24</v>
      </c>
      <c r="H6">
        <v>41</v>
      </c>
      <c r="I6">
        <v>31</v>
      </c>
      <c r="K6">
        <f t="shared" si="0"/>
        <v>172.5</v>
      </c>
      <c r="L6">
        <f t="shared" si="1"/>
        <v>64.365671641791039</v>
      </c>
      <c r="N6">
        <v>326.5</v>
      </c>
      <c r="P6">
        <f t="shared" si="2"/>
        <v>154</v>
      </c>
      <c r="Q6">
        <f t="shared" si="3"/>
        <v>54.609929078014183</v>
      </c>
    </row>
    <row r="7" spans="1:17" x14ac:dyDescent="0.25">
      <c r="A7">
        <v>6</v>
      </c>
      <c r="C7">
        <v>24.5</v>
      </c>
      <c r="D7">
        <v>30.5</v>
      </c>
      <c r="E7">
        <v>26.5</v>
      </c>
      <c r="F7">
        <v>33.5</v>
      </c>
      <c r="G7">
        <v>27</v>
      </c>
      <c r="H7">
        <v>39.5</v>
      </c>
      <c r="I7">
        <v>41</v>
      </c>
      <c r="K7">
        <f t="shared" si="0"/>
        <v>222.5</v>
      </c>
      <c r="L7">
        <f t="shared" si="1"/>
        <v>83.022388059701484</v>
      </c>
      <c r="N7">
        <v>434</v>
      </c>
      <c r="P7">
        <f t="shared" si="2"/>
        <v>211.5</v>
      </c>
      <c r="Q7">
        <f t="shared" si="3"/>
        <v>75</v>
      </c>
    </row>
    <row r="8" spans="1:17" x14ac:dyDescent="0.25">
      <c r="A8">
        <v>7</v>
      </c>
      <c r="C8">
        <v>24.5</v>
      </c>
      <c r="D8">
        <v>33</v>
      </c>
      <c r="E8">
        <v>29.5</v>
      </c>
      <c r="F8">
        <v>38.5</v>
      </c>
      <c r="G8">
        <v>25</v>
      </c>
      <c r="H8">
        <v>39.5</v>
      </c>
      <c r="I8">
        <v>40</v>
      </c>
      <c r="K8">
        <f t="shared" si="0"/>
        <v>230</v>
      </c>
      <c r="L8">
        <f t="shared" si="1"/>
        <v>85.820895522388057</v>
      </c>
      <c r="N8">
        <v>478.5</v>
      </c>
      <c r="P8">
        <f t="shared" si="2"/>
        <v>248.5</v>
      </c>
      <c r="Q8">
        <f t="shared" si="3"/>
        <v>88.120567375886523</v>
      </c>
    </row>
    <row r="9" spans="1:17" x14ac:dyDescent="0.25">
      <c r="A9">
        <v>8</v>
      </c>
      <c r="C9">
        <v>21</v>
      </c>
      <c r="D9">
        <v>32</v>
      </c>
      <c r="E9">
        <v>30.5</v>
      </c>
      <c r="F9">
        <v>44</v>
      </c>
      <c r="G9">
        <v>26.5</v>
      </c>
      <c r="H9">
        <v>43</v>
      </c>
      <c r="I9">
        <v>37.5</v>
      </c>
      <c r="K9">
        <f t="shared" si="0"/>
        <v>234.5</v>
      </c>
      <c r="L9">
        <f t="shared" si="1"/>
        <v>87.5</v>
      </c>
      <c r="N9">
        <v>494</v>
      </c>
      <c r="P9">
        <f t="shared" si="2"/>
        <v>259.5</v>
      </c>
      <c r="Q9">
        <f t="shared" si="3"/>
        <v>92.021276595744681</v>
      </c>
    </row>
    <row r="10" spans="1:17" x14ac:dyDescent="0.25">
      <c r="A10">
        <v>9</v>
      </c>
      <c r="C10">
        <v>26</v>
      </c>
      <c r="D10">
        <v>31</v>
      </c>
      <c r="E10">
        <v>29</v>
      </c>
      <c r="F10">
        <v>38</v>
      </c>
      <c r="G10">
        <v>30.5</v>
      </c>
      <c r="H10">
        <v>43.5</v>
      </c>
      <c r="I10">
        <v>45</v>
      </c>
      <c r="K10">
        <f t="shared" si="0"/>
        <v>243</v>
      </c>
      <c r="L10">
        <f t="shared" si="1"/>
        <v>90.671641791044777</v>
      </c>
      <c r="N10">
        <v>500</v>
      </c>
      <c r="P10">
        <f t="shared" si="2"/>
        <v>257</v>
      </c>
      <c r="Q10">
        <f t="shared" si="3"/>
        <v>91.134751773049643</v>
      </c>
    </row>
    <row r="11" spans="1:17" x14ac:dyDescent="0.25">
      <c r="A11">
        <v>10</v>
      </c>
      <c r="C11">
        <v>21</v>
      </c>
      <c r="D11">
        <v>22.5</v>
      </c>
      <c r="E11">
        <v>15</v>
      </c>
      <c r="F11">
        <v>19.5</v>
      </c>
      <c r="G11">
        <v>20</v>
      </c>
      <c r="H11">
        <v>29.5</v>
      </c>
      <c r="I11">
        <v>20</v>
      </c>
      <c r="K11">
        <f t="shared" ref="K11:K21" si="4">SUM(C11:I11)</f>
        <v>147.5</v>
      </c>
      <c r="L11">
        <f t="shared" si="1"/>
        <v>55.037313432835823</v>
      </c>
      <c r="N11">
        <v>317</v>
      </c>
      <c r="P11">
        <f t="shared" si="2"/>
        <v>169.5</v>
      </c>
      <c r="Q11">
        <f t="shared" si="3"/>
        <v>60.106382978723403</v>
      </c>
    </row>
    <row r="12" spans="1:17" x14ac:dyDescent="0.25">
      <c r="A12">
        <v>11</v>
      </c>
      <c r="C12">
        <v>24.5</v>
      </c>
      <c r="D12">
        <v>19.5</v>
      </c>
      <c r="E12">
        <v>20.5</v>
      </c>
      <c r="F12">
        <v>26</v>
      </c>
      <c r="G12">
        <v>23.5</v>
      </c>
      <c r="H12">
        <v>35.5</v>
      </c>
      <c r="I12">
        <v>32.5</v>
      </c>
      <c r="K12">
        <f t="shared" si="4"/>
        <v>182</v>
      </c>
      <c r="L12">
        <f t="shared" si="1"/>
        <v>67.910447761194021</v>
      </c>
      <c r="N12">
        <v>388</v>
      </c>
      <c r="P12">
        <f t="shared" si="2"/>
        <v>206</v>
      </c>
      <c r="Q12">
        <f t="shared" si="3"/>
        <v>73.049645390070921</v>
      </c>
    </row>
    <row r="13" spans="1:17" x14ac:dyDescent="0.25">
      <c r="A13">
        <v>12</v>
      </c>
      <c r="C13">
        <v>24</v>
      </c>
      <c r="D13">
        <v>26</v>
      </c>
      <c r="E13">
        <v>21</v>
      </c>
      <c r="F13">
        <v>36</v>
      </c>
      <c r="G13">
        <v>30</v>
      </c>
      <c r="H13">
        <v>31.5</v>
      </c>
      <c r="I13">
        <v>29.5</v>
      </c>
      <c r="K13">
        <f t="shared" si="4"/>
        <v>198</v>
      </c>
      <c r="L13">
        <f t="shared" si="1"/>
        <v>73.880597014925371</v>
      </c>
      <c r="N13">
        <v>419.5</v>
      </c>
      <c r="P13">
        <f t="shared" si="2"/>
        <v>221.5</v>
      </c>
      <c r="Q13">
        <f t="shared" si="3"/>
        <v>78.546099290780148</v>
      </c>
    </row>
    <row r="14" spans="1:17" x14ac:dyDescent="0.25">
      <c r="A14">
        <v>13</v>
      </c>
      <c r="C14">
        <v>26</v>
      </c>
      <c r="D14">
        <v>31</v>
      </c>
      <c r="E14">
        <v>24</v>
      </c>
      <c r="F14">
        <v>37</v>
      </c>
      <c r="G14">
        <v>28.5</v>
      </c>
      <c r="H14">
        <v>38.5</v>
      </c>
      <c r="I14">
        <v>41</v>
      </c>
      <c r="K14">
        <f t="shared" si="4"/>
        <v>226</v>
      </c>
      <c r="L14">
        <f t="shared" si="1"/>
        <v>84.328358208955223</v>
      </c>
      <c r="N14">
        <v>457.5</v>
      </c>
      <c r="P14">
        <f t="shared" si="2"/>
        <v>231.5</v>
      </c>
      <c r="Q14">
        <f t="shared" si="3"/>
        <v>82.092198581560282</v>
      </c>
    </row>
    <row r="15" spans="1:17" x14ac:dyDescent="0.25">
      <c r="A15">
        <v>14</v>
      </c>
      <c r="C15">
        <v>25</v>
      </c>
      <c r="D15">
        <v>32</v>
      </c>
      <c r="E15">
        <v>29</v>
      </c>
      <c r="F15">
        <v>36</v>
      </c>
      <c r="G15">
        <v>32</v>
      </c>
      <c r="H15">
        <v>42.5</v>
      </c>
      <c r="I15">
        <v>31.5</v>
      </c>
      <c r="K15">
        <f t="shared" si="4"/>
        <v>228</v>
      </c>
      <c r="L15">
        <f t="shared" si="1"/>
        <v>85.074626865671647</v>
      </c>
      <c r="N15">
        <v>436.5</v>
      </c>
      <c r="P15">
        <f t="shared" si="2"/>
        <v>208.5</v>
      </c>
      <c r="Q15">
        <f t="shared" si="3"/>
        <v>73.936170212765958</v>
      </c>
    </row>
    <row r="16" spans="1:17" x14ac:dyDescent="0.25">
      <c r="A16">
        <v>15</v>
      </c>
      <c r="C16">
        <v>24.5</v>
      </c>
      <c r="D16">
        <v>35</v>
      </c>
      <c r="E16">
        <v>35</v>
      </c>
      <c r="F16">
        <v>40</v>
      </c>
      <c r="G16">
        <v>25</v>
      </c>
      <c r="H16">
        <v>41.5</v>
      </c>
      <c r="I16">
        <v>28.5</v>
      </c>
      <c r="K16">
        <f t="shared" si="4"/>
        <v>229.5</v>
      </c>
      <c r="L16">
        <f t="shared" si="1"/>
        <v>85.634328358208961</v>
      </c>
      <c r="N16">
        <v>483.5</v>
      </c>
      <c r="P16">
        <f t="shared" si="2"/>
        <v>254</v>
      </c>
      <c r="Q16">
        <f t="shared" si="3"/>
        <v>90.070921985815602</v>
      </c>
    </row>
    <row r="17" spans="1:17" x14ac:dyDescent="0.25">
      <c r="A17">
        <v>16</v>
      </c>
      <c r="C17">
        <v>23</v>
      </c>
      <c r="D17">
        <v>32</v>
      </c>
      <c r="E17">
        <v>20</v>
      </c>
      <c r="F17">
        <v>40</v>
      </c>
      <c r="G17">
        <v>32</v>
      </c>
      <c r="H17">
        <v>40</v>
      </c>
      <c r="I17">
        <v>31</v>
      </c>
      <c r="K17">
        <f t="shared" si="4"/>
        <v>218</v>
      </c>
      <c r="L17">
        <f t="shared" si="1"/>
        <v>81.343283582089555</v>
      </c>
      <c r="N17">
        <v>458</v>
      </c>
      <c r="P17">
        <f t="shared" si="2"/>
        <v>240</v>
      </c>
      <c r="Q17">
        <f t="shared" si="3"/>
        <v>85.106382978723403</v>
      </c>
    </row>
    <row r="18" spans="1:17" x14ac:dyDescent="0.25">
      <c r="A18">
        <v>17</v>
      </c>
      <c r="C18">
        <v>26</v>
      </c>
      <c r="D18">
        <v>29.5</v>
      </c>
      <c r="E18">
        <v>17</v>
      </c>
      <c r="F18">
        <v>23.5</v>
      </c>
      <c r="G18">
        <v>20.5</v>
      </c>
      <c r="H18">
        <v>37</v>
      </c>
      <c r="I18">
        <v>36</v>
      </c>
      <c r="K18">
        <f t="shared" si="4"/>
        <v>189.5</v>
      </c>
      <c r="L18">
        <f t="shared" si="1"/>
        <v>70.708955223880594</v>
      </c>
      <c r="N18">
        <v>364.5</v>
      </c>
      <c r="P18">
        <f t="shared" si="2"/>
        <v>175</v>
      </c>
      <c r="Q18">
        <f t="shared" si="3"/>
        <v>62.056737588652474</v>
      </c>
    </row>
    <row r="19" spans="1:17" x14ac:dyDescent="0.25">
      <c r="A19">
        <v>18</v>
      </c>
      <c r="C19">
        <v>26</v>
      </c>
      <c r="D19">
        <v>25.5</v>
      </c>
      <c r="E19">
        <v>23</v>
      </c>
      <c r="F19">
        <v>41</v>
      </c>
      <c r="G19">
        <v>24</v>
      </c>
      <c r="H19">
        <v>40</v>
      </c>
      <c r="I19">
        <v>29.5</v>
      </c>
      <c r="K19">
        <f t="shared" si="4"/>
        <v>209</v>
      </c>
      <c r="L19">
        <f t="shared" si="1"/>
        <v>77.985074626865668</v>
      </c>
      <c r="N19">
        <v>424</v>
      </c>
      <c r="P19">
        <f>(N19-K19)</f>
        <v>215</v>
      </c>
      <c r="Q19">
        <f t="shared" si="3"/>
        <v>76.24113475177306</v>
      </c>
    </row>
    <row r="21" spans="1:17" x14ac:dyDescent="0.25">
      <c r="A21" t="s">
        <v>10</v>
      </c>
      <c r="C21">
        <v>26</v>
      </c>
      <c r="D21">
        <v>36.5</v>
      </c>
      <c r="E21">
        <v>36.5</v>
      </c>
      <c r="F21">
        <v>43.5</v>
      </c>
      <c r="G21">
        <v>33.5</v>
      </c>
      <c r="H21">
        <v>45</v>
      </c>
      <c r="I21">
        <v>47</v>
      </c>
      <c r="K21">
        <f t="shared" si="4"/>
        <v>268</v>
      </c>
      <c r="L21">
        <f t="shared" si="1"/>
        <v>100</v>
      </c>
      <c r="N21">
        <v>550</v>
      </c>
      <c r="P21">
        <f>(N21-K21)</f>
        <v>282</v>
      </c>
      <c r="Q21">
        <f t="shared" si="3"/>
        <v>100</v>
      </c>
    </row>
    <row r="23" spans="1:17" x14ac:dyDescent="0.25">
      <c r="L23">
        <f>AVERAGE(L2:L19)</f>
        <v>80.182421227197352</v>
      </c>
      <c r="Q23">
        <f>AVERAGE(Q2:Q19)</f>
        <v>79.038613081166261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 Condition</vt:lpstr>
      <vt:lpstr>PG Condition</vt:lpstr>
      <vt:lpstr>Within-Subject PG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chavo</dc:creator>
  <cp:keywords/>
  <dc:description/>
  <cp:lastModifiedBy>Jimenez, Stephanie Theresia</cp:lastModifiedBy>
  <cp:revision/>
  <dcterms:created xsi:type="dcterms:W3CDTF">2019-11-20T19:36:55Z</dcterms:created>
  <dcterms:modified xsi:type="dcterms:W3CDTF">2026-09-18T15:21:01Z</dcterms:modified>
  <cp:category/>
  <cp:contentStatus/>
</cp:coreProperties>
</file>